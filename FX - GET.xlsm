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195" windowWidth="14355" windowHeight="6855" activeTab="1"/>
  </bookViews>
  <sheets>
    <sheet name="Documentation" sheetId="2" r:id="rId1"/>
    <sheet name="Exchange Rate Data" sheetId="1" r:id="rId2"/>
  </sheets>
  <functionGroups builtInGroupCount="17"/>
  <definedNames>
    <definedName name="base">'Exchange Rate Data'!$E$7</definedName>
    <definedName name="col_list">INDEX(Table1[],,col_num)</definedName>
    <definedName name="col_num">MATCH('Exchange Rate Data'!$E$5,Table1[#Headers],0)</definedName>
    <definedName name="date">'Exchange Rate Data'!$E$9</definedName>
    <definedName name="Months">Table1[#Headers]</definedName>
    <definedName name="rate2">'Exchange Rate Data'!$B$10</definedName>
    <definedName name="therange">'Exchange Rate Data'!$B$11:$B$49</definedName>
    <definedName name="Validation" xml:space="preserve"> INDEX(Table1[],1,col_num) : INDEX(Table1[],COUNTA(col_list),col_num)</definedName>
  </definedNames>
  <calcPr calcId="145621"/>
</workbook>
</file>

<file path=xl/calcChain.xml><?xml version="1.0" encoding="utf-8"?>
<calcChain xmlns="http://schemas.openxmlformats.org/spreadsheetml/2006/main">
  <c r="E13" i="1" l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12" i="1"/>
  <c r="E11" i="1"/>
  <c r="E9" i="1" l="1"/>
</calcChain>
</file>

<file path=xl/sharedStrings.xml><?xml version="1.0" encoding="utf-8"?>
<sst xmlns="http://schemas.openxmlformats.org/spreadsheetml/2006/main" count="101" uniqueCount="66">
  <si>
    <t>CAD</t>
  </si>
  <si>
    <t>GBP</t>
  </si>
  <si>
    <t>DKK</t>
  </si>
  <si>
    <t>JPY</t>
  </si>
  <si>
    <t>EUR</t>
  </si>
  <si>
    <t>HUF</t>
  </si>
  <si>
    <t>SGD</t>
  </si>
  <si>
    <t>KRW</t>
  </si>
  <si>
    <t>SEK</t>
  </si>
  <si>
    <t>ZAR</t>
  </si>
  <si>
    <t>BGN</t>
  </si>
  <si>
    <t>CZK</t>
  </si>
  <si>
    <t>HKD</t>
  </si>
  <si>
    <t>NZD</t>
  </si>
  <si>
    <t>PLN</t>
  </si>
  <si>
    <t>NOK</t>
  </si>
  <si>
    <t>Day:</t>
  </si>
  <si>
    <t>Month:</t>
  </si>
  <si>
    <t>Year:</t>
  </si>
  <si>
    <t>Base Currency:</t>
  </si>
  <si>
    <t>Searched Date:</t>
  </si>
  <si>
    <t>RUB</t>
  </si>
  <si>
    <t>TRY</t>
  </si>
  <si>
    <t>PHP</t>
  </si>
  <si>
    <t>CNY</t>
  </si>
  <si>
    <t>IDR</t>
  </si>
  <si>
    <t>HRK</t>
  </si>
  <si>
    <t>MYR</t>
  </si>
  <si>
    <t>THB</t>
  </si>
  <si>
    <t>BRL</t>
  </si>
  <si>
    <t>MXN</t>
  </si>
  <si>
    <t>INR</t>
  </si>
  <si>
    <t>ILS</t>
  </si>
  <si>
    <t>AUD</t>
  </si>
  <si>
    <t>USD</t>
  </si>
  <si>
    <t>CHF</t>
  </si>
  <si>
    <t>RON</t>
  </si>
  <si>
    <t>bas</t>
  </si>
  <si>
    <t>LTL</t>
  </si>
  <si>
    <t>LVL</t>
  </si>
  <si>
    <t>Author:</t>
  </si>
  <si>
    <t>Dennis Megaffin</t>
  </si>
  <si>
    <t>Date Created</t>
  </si>
  <si>
    <t>Oct-9-2018</t>
  </si>
  <si>
    <t>Purpose:</t>
  </si>
  <si>
    <t>FYI:</t>
  </si>
  <si>
    <t>About:</t>
  </si>
  <si>
    <t>This sheet will pull current and historical exchange rate data from this website http://exchangeratesapi.io/ sourced from the European Central Bank</t>
  </si>
  <si>
    <t>Data can only be pulled from as far back as 1999.
If you pull data from a future date you will receive the most current exchange rate information (most likely yesterday's numbers)</t>
  </si>
  <si>
    <t>To pull exchange rate data into excel for increased efficiency when creating &amp; monitoring financial models and reports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</si>
  <si>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</si>
  <si>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</si>
  <si>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</si>
  <si>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</si>
  <si>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</si>
  <si>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</si>
  <si>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</si>
  <si>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</si>
  <si>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</si>
  <si>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</si>
  <si>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</si>
  <si>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</si>
  <si>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ISK</t>
  </si>
  <si>
    <t>:"CAD"</t>
  </si>
  <si>
    <t>{"data":{"date":"2018-02-27","rates":{"BGN":1.2499520675,"CAD":1,"BRL":2.5455997955,"HUF":200.6582731514,"DKK":4.7587396945,"JPY":84.2142263693,"ILS":2.7367546495,"TRY":2.9800600754,"RON":2.9766089346,"GBP":0.5649645299,"PHP":41.0851920496,"HRK":4.7582284144,"NOK":6.1538953154,"ZAR":9.1634179076,"MXN":14.7187959353,"AUD":1.0032594107,"USD":0.7861570908,"KRW":842.6599348118,"HKD":6.1527449351,"EUR":0.639100147,"ISK":79.1845082124,"CZK":16.2318655333,"THB":24.6775739758,"MYR":3.0722822266,"NZD":1.0812296287,"PLN":2.6631303125,"CHF":0.7374576596,"SEK":6.4421294817,"CNY":4.9635712916,"SGD":1.0375790886,"INR":51.0021090305,"IDR":10748.9550712597,"RUB":43.9684923628},"base":"CAD"}}</t>
  </si>
  <si>
    <t>"BGN":1.2499520675,"CAD":1,"BRL":2.5455997955,"HUF":200.6582731514,"DKK":4.7587396945,"JPY":84.2142263693,"ILS":2.7367546495,"TRY":2.9800600754,"RON":2.9766089346,"GBP":0.5649645299,"PHP":41.0851920496,"HRK":4.7582284144,"NOK":6.1538953154,"ZAR":9.1634179076,"MXN":14.7187959353,"AUD":1.0032594107,"USD":0.7861570908,"KRW":842.6599348118,"HKD":6.1527449351,"EUR":0.639100147,"ISK":79.1845082124,"CZK":16.2318655333,"THB":24.6775739758,"MYR":3.0722822266,"NZD":1.0812296287,"PLN":2.6631303125,"CHF":0.7374576596,"SEK":6.4421294817,"CNY":4.9635712916,"SGD":1.0375790886,"INR":51.0021090305,"IDR":10748.9550712597,"RUB":43.9684923628},"base":"CAD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</si>
</sst>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"/>
    <numFmt numFmtId="165" formatCode="0.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0" fillId="0" borderId="8" xfId="0" applyBorder="1" applyAlignment="1">
      <alignment horizontal="center" vertical="center"/>
    </xf>
    <xf numFmtId="0" fontId="1" fillId="0" borderId="1" xfId="0" applyFont="1" applyBorder="1"/>
    <xf numFmtId="0" fontId="0" fillId="0" borderId="0" xfId="0" applyBorder="1"/>
    <xf numFmtId="0" fontId="1" fillId="0" borderId="0" xfId="0" applyFont="1" applyBorder="1"/>
    <xf numFmtId="0" fontId="1" fillId="0" borderId="0" xfId="0" applyFont="1"/>
    <xf numFmtId="164" fontId="0" fillId="0" borderId="0" xfId="0" applyNumberFormat="1" applyBorder="1"/>
    <xf numFmtId="164" fontId="0" fillId="0" borderId="0" xfId="0" applyNumberFormat="1"/>
    <xf numFmtId="0" fontId="1" fillId="0" borderId="9" xfId="0" applyFont="1" applyBorder="1"/>
    <xf numFmtId="0" fontId="1" fillId="0" borderId="10" xfId="0" applyFont="1" applyBorder="1"/>
    <xf numFmtId="0" fontId="1" fillId="0" borderId="10" xfId="0" applyFont="1" applyFill="1" applyBorder="1"/>
    <xf numFmtId="0" fontId="1" fillId="0" borderId="11" xfId="0" applyFont="1" applyFill="1" applyBorder="1"/>
    <xf numFmtId="0" fontId="0" fillId="0" borderId="0" xfId="0" applyAlignment="1">
      <alignment vertical="top" wrapText="1"/>
    </xf>
    <xf numFmtId="0" fontId="1" fillId="0" borderId="1" xfId="0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 vertical="center"/>
    </xf>
    <xf numFmtId="1" fontId="0" fillId="2" borderId="3" xfId="0" applyNumberFormat="1" applyFill="1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0" fillId="0" borderId="9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1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Normal" xfId="0" builtinId="0"/>
  </cellStyles>
  <dxfs count="14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</xdr:row>
          <xdr:rowOff>9525</xdr:rowOff>
        </xdr:from>
        <xdr:to>
          <xdr:col>8</xdr:col>
          <xdr:colOff>314325</xdr:colOff>
          <xdr:row>6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Click for Exchange Rates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L2:W33" totalsRowShown="0" headerRowDxfId="13" dataDxfId="12">
  <autoFilter ref="L2:W33"/>
  <tableColumns count="12">
    <tableColumn id="1" name="1" dataDxfId="11"/>
    <tableColumn id="2" name="2" dataDxfId="10"/>
    <tableColumn id="3" name="3" dataDxfId="9"/>
    <tableColumn id="4" name="4" dataDxfId="8"/>
    <tableColumn id="5" name="5" dataDxfId="7"/>
    <tableColumn id="6" name="6" dataDxfId="6"/>
    <tableColumn id="7" name="7" dataDxfId="5"/>
    <tableColumn id="8" name="8" dataDxfId="4"/>
    <tableColumn id="9" name="9" dataDxfId="3"/>
    <tableColumn id="10" name="10" dataDxfId="2"/>
    <tableColumn id="11" name="11" dataDxfId="1"/>
    <tableColumn id="12" name="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5"/>
  <sheetViews>
    <sheetView workbookViewId="0">
      <selection activeCell="D20" sqref="D20"/>
    </sheetView>
  </sheetViews>
  <sheetFormatPr defaultRowHeight="15" x14ac:dyDescent="0.25"/>
  <cols>
    <col min="1" max="1" width="12.5703125" bestFit="1" customWidth="1"/>
  </cols>
  <sheetData>
    <row r="1" spans="1:6" ht="15.75" thickBot="1" x14ac:dyDescent="0.3">
      <c r="A1" s="16" t="s">
        <v>40</v>
      </c>
      <c r="B1" s="24" t="s">
        <v>41</v>
      </c>
      <c r="C1" s="25"/>
      <c r="D1" s="25"/>
      <c r="E1" s="25"/>
      <c r="F1" s="26"/>
    </row>
    <row r="2" spans="1:6" ht="15.75" thickBot="1" x14ac:dyDescent="0.3">
      <c r="A2" s="16" t="s">
        <v>42</v>
      </c>
      <c r="B2" s="24" t="s">
        <v>43</v>
      </c>
      <c r="C2" s="25"/>
      <c r="D2" s="25"/>
      <c r="E2" s="25"/>
      <c r="F2" s="26"/>
    </row>
    <row r="3" spans="1:6" ht="15" customHeight="1" x14ac:dyDescent="0.25">
      <c r="A3" s="27" t="s">
        <v>44</v>
      </c>
      <c r="B3" s="30" t="s">
        <v>49</v>
      </c>
      <c r="C3" s="31"/>
      <c r="D3" s="31"/>
      <c r="E3" s="31"/>
      <c r="F3" s="32"/>
    </row>
    <row r="4" spans="1:6" x14ac:dyDescent="0.25">
      <c r="A4" s="28"/>
      <c r="B4" s="33"/>
      <c r="C4" s="34"/>
      <c r="D4" s="34"/>
      <c r="E4" s="34"/>
      <c r="F4" s="35"/>
    </row>
    <row r="5" spans="1:6" ht="15.75" thickBot="1" x14ac:dyDescent="0.3">
      <c r="A5" s="29"/>
      <c r="B5" s="36"/>
      <c r="C5" s="37"/>
      <c r="D5" s="37"/>
      <c r="E5" s="37"/>
      <c r="F5" s="38"/>
    </row>
    <row r="6" spans="1:6" ht="15" customHeight="1" x14ac:dyDescent="0.25">
      <c r="A6" s="27" t="s">
        <v>46</v>
      </c>
      <c r="B6" s="30" t="s">
        <v>47</v>
      </c>
      <c r="C6" s="31"/>
      <c r="D6" s="31"/>
      <c r="E6" s="31"/>
      <c r="F6" s="32"/>
    </row>
    <row r="7" spans="1:6" x14ac:dyDescent="0.25">
      <c r="A7" s="28"/>
      <c r="B7" s="33"/>
      <c r="C7" s="34"/>
      <c r="D7" s="34"/>
      <c r="E7" s="34"/>
      <c r="F7" s="35"/>
    </row>
    <row r="8" spans="1:6" x14ac:dyDescent="0.25">
      <c r="A8" s="28"/>
      <c r="B8" s="33"/>
      <c r="C8" s="34"/>
      <c r="D8" s="34"/>
      <c r="E8" s="34"/>
      <c r="F8" s="35"/>
    </row>
    <row r="9" spans="1:6" ht="15.75" thickBot="1" x14ac:dyDescent="0.3">
      <c r="A9" s="29"/>
      <c r="B9" s="36"/>
      <c r="C9" s="37"/>
      <c r="D9" s="37"/>
      <c r="E9" s="37"/>
      <c r="F9" s="38"/>
    </row>
    <row r="10" spans="1:6" ht="15" customHeight="1" x14ac:dyDescent="0.25">
      <c r="A10" s="27" t="s">
        <v>45</v>
      </c>
      <c r="B10" s="30" t="s">
        <v>48</v>
      </c>
      <c r="C10" s="31"/>
      <c r="D10" s="31"/>
      <c r="E10" s="31"/>
      <c r="F10" s="32"/>
    </row>
    <row r="11" spans="1:6" x14ac:dyDescent="0.25">
      <c r="A11" s="28"/>
      <c r="B11" s="33"/>
      <c r="C11" s="34"/>
      <c r="D11" s="34"/>
      <c r="E11" s="34"/>
      <c r="F11" s="35"/>
    </row>
    <row r="12" spans="1:6" x14ac:dyDescent="0.25">
      <c r="A12" s="28"/>
      <c r="B12" s="33"/>
      <c r="C12" s="34"/>
      <c r="D12" s="34"/>
      <c r="E12" s="34"/>
      <c r="F12" s="35"/>
    </row>
    <row r="13" spans="1:6" ht="15.75" thickBot="1" x14ac:dyDescent="0.3">
      <c r="A13" s="29"/>
      <c r="B13" s="36"/>
      <c r="C13" s="37"/>
      <c r="D13" s="37"/>
      <c r="E13" s="37"/>
      <c r="F13" s="38"/>
    </row>
    <row r="14" spans="1:6" x14ac:dyDescent="0.25">
      <c r="B14" s="15"/>
      <c r="C14" s="15"/>
      <c r="D14" s="15"/>
      <c r="E14" s="15"/>
      <c r="F14" s="15"/>
    </row>
    <row r="15" spans="1:6" x14ac:dyDescent="0.25">
      <c r="B15" s="15"/>
      <c r="C15" s="15"/>
      <c r="D15" s="15"/>
      <c r="E15" s="15"/>
      <c r="F15" s="15"/>
    </row>
  </sheetData>
  <sheetProtection sheet="1" objects="1" scenarios="1"/>
  <mergeCells count="8">
    <mergeCell ref="B1:F1"/>
    <mergeCell ref="B2:F2"/>
    <mergeCell ref="A3:A5"/>
    <mergeCell ref="A6:A9"/>
    <mergeCell ref="A10:A13"/>
    <mergeCell ref="B3:F5"/>
    <mergeCell ref="B6:F9"/>
    <mergeCell ref="B10:F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49"/>
  <sheetViews>
    <sheetView tabSelected="1" topLeftCell="D3" workbookViewId="0">
      <selection activeCell="D3" sqref="D3"/>
    </sheetView>
  </sheetViews>
  <sheetFormatPr defaultRowHeight="15" x14ac:dyDescent="0.25"/>
  <cols>
    <col min="1" max="1" width="17.28515625" hidden="1" customWidth="1"/>
    <col min="2" max="2" width="16.42578125" hidden="1" customWidth="1"/>
    <col min="3" max="3" width="9.140625" hidden="1" customWidth="1"/>
    <col min="4" max="4" width="14.42578125" customWidth="1"/>
    <col min="5" max="5" width="12" customWidth="1"/>
    <col min="12" max="23" width="0" hidden="1" customWidth="1"/>
  </cols>
  <sheetData>
    <row r="1" spans="1:23" hidden="1" x14ac:dyDescent="0.25">
      <c r="A1" t="s">
        <v>64</v>
      </c>
    </row>
    <row r="2" spans="1:23" hidden="1" x14ac:dyDescent="0.25">
      <c r="B2" t="s">
        <v>65</v>
      </c>
      <c r="L2" s="21" t="s">
        <v>50</v>
      </c>
      <c r="M2" s="21" t="s">
        <v>51</v>
      </c>
      <c r="N2" s="21" t="s">
        <v>52</v>
      </c>
      <c r="O2" s="21" t="s">
        <v>53</v>
      </c>
      <c r="P2" s="21" t="s">
        <v>54</v>
      </c>
      <c r="Q2" s="21" t="s">
        <v>55</v>
      </c>
      <c r="R2" s="21" t="s">
        <v>56</v>
      </c>
      <c r="S2" s="21" t="s">
        <v>57</v>
      </c>
      <c r="T2" s="21" t="s">
        <v>58</v>
      </c>
      <c r="U2" s="21" t="s">
        <v>59</v>
      </c>
      <c r="V2" s="21" t="s">
        <v>60</v>
      </c>
      <c r="W2" s="21" t="s">
        <v>61</v>
      </c>
    </row>
    <row r="3" spans="1:23" ht="15.75" thickBot="1" x14ac:dyDescent="0.3">
      <c r="L3" s="21">
        <v>1</v>
      </c>
      <c r="M3" s="21">
        <v>1</v>
      </c>
      <c r="N3" s="21">
        <v>1</v>
      </c>
      <c r="O3" s="21">
        <v>1</v>
      </c>
      <c r="P3" s="21">
        <v>1</v>
      </c>
      <c r="Q3" s="21">
        <v>1</v>
      </c>
      <c r="R3" s="21">
        <v>1</v>
      </c>
      <c r="S3" s="21">
        <v>1</v>
      </c>
      <c r="T3" s="21">
        <v>1</v>
      </c>
      <c r="U3" s="21">
        <v>1</v>
      </c>
      <c r="V3" s="21">
        <v>1</v>
      </c>
      <c r="W3" s="21">
        <v>1</v>
      </c>
    </row>
    <row r="4" spans="1:23" x14ac:dyDescent="0.25">
      <c r="D4" s="1" t="s">
        <v>16</v>
      </c>
      <c r="E4" s="22">
        <v>27</v>
      </c>
      <c r="L4" s="21">
        <v>2</v>
      </c>
      <c r="M4" s="21">
        <v>2</v>
      </c>
      <c r="N4" s="21">
        <v>2</v>
      </c>
      <c r="O4" s="21">
        <v>2</v>
      </c>
      <c r="P4" s="21">
        <v>2</v>
      </c>
      <c r="Q4" s="21">
        <v>2</v>
      </c>
      <c r="R4" s="21">
        <v>2</v>
      </c>
      <c r="S4" s="21">
        <v>2</v>
      </c>
      <c r="T4" s="21">
        <v>2</v>
      </c>
      <c r="U4" s="21">
        <v>2</v>
      </c>
      <c r="V4" s="21">
        <v>2</v>
      </c>
      <c r="W4" s="21">
        <v>2</v>
      </c>
    </row>
    <row r="5" spans="1:23" x14ac:dyDescent="0.25">
      <c r="D5" s="2" t="s">
        <v>17</v>
      </c>
      <c r="E5" s="23" t="s">
        <v>51</v>
      </c>
      <c r="L5" s="21">
        <v>3</v>
      </c>
      <c r="M5" s="21">
        <v>3</v>
      </c>
      <c r="N5" s="21">
        <v>3</v>
      </c>
      <c r="O5" s="21">
        <v>3</v>
      </c>
      <c r="P5" s="21">
        <v>3</v>
      </c>
      <c r="Q5" s="21">
        <v>3</v>
      </c>
      <c r="R5" s="21">
        <v>3</v>
      </c>
      <c r="S5" s="21">
        <v>3</v>
      </c>
      <c r="T5" s="21">
        <v>3</v>
      </c>
      <c r="U5" s="21">
        <v>3</v>
      </c>
      <c r="V5" s="21">
        <v>3</v>
      </c>
      <c r="W5" s="21">
        <v>3</v>
      </c>
    </row>
    <row r="6" spans="1:23" x14ac:dyDescent="0.25">
      <c r="D6" s="2" t="s">
        <v>18</v>
      </c>
      <c r="E6" s="23">
        <v>2018</v>
      </c>
      <c r="L6" s="21">
        <v>4</v>
      </c>
      <c r="M6" s="21">
        <v>4</v>
      </c>
      <c r="N6" s="21">
        <v>4</v>
      </c>
      <c r="O6" s="21">
        <v>4</v>
      </c>
      <c r="P6" s="21">
        <v>4</v>
      </c>
      <c r="Q6" s="21">
        <v>4</v>
      </c>
      <c r="R6" s="21">
        <v>4</v>
      </c>
      <c r="S6" s="21">
        <v>4</v>
      </c>
      <c r="T6" s="21">
        <v>4</v>
      </c>
      <c r="U6" s="21">
        <v>4</v>
      </c>
      <c r="V6" s="21">
        <v>4</v>
      </c>
      <c r="W6" s="21">
        <v>4</v>
      </c>
    </row>
    <row r="7" spans="1:23" ht="15.75" thickBot="1" x14ac:dyDescent="0.3">
      <c r="D7" s="3" t="s">
        <v>19</v>
      </c>
      <c r="E7" s="20" t="s">
        <v>0</v>
      </c>
      <c r="L7" s="21">
        <v>5</v>
      </c>
      <c r="M7" s="21">
        <v>5</v>
      </c>
      <c r="N7" s="21">
        <v>5</v>
      </c>
      <c r="O7" s="21">
        <v>5</v>
      </c>
      <c r="P7" s="21">
        <v>5</v>
      </c>
      <c r="Q7" s="21">
        <v>5</v>
      </c>
      <c r="R7" s="21">
        <v>5</v>
      </c>
      <c r="S7" s="21">
        <v>5</v>
      </c>
      <c r="T7" s="21">
        <v>5</v>
      </c>
      <c r="U7" s="21">
        <v>5</v>
      </c>
      <c r="V7" s="21">
        <v>5</v>
      </c>
      <c r="W7" s="21">
        <v>5</v>
      </c>
    </row>
    <row r="8" spans="1:23" ht="15.75" thickBot="1" x14ac:dyDescent="0.3">
      <c r="L8" s="21">
        <v>6</v>
      </c>
      <c r="M8" s="21">
        <v>6</v>
      </c>
      <c r="N8" s="21">
        <v>6</v>
      </c>
      <c r="O8" s="21">
        <v>6</v>
      </c>
      <c r="P8" s="21">
        <v>6</v>
      </c>
      <c r="Q8" s="21">
        <v>6</v>
      </c>
      <c r="R8" s="21">
        <v>6</v>
      </c>
      <c r="S8" s="21">
        <v>6</v>
      </c>
      <c r="T8" s="21">
        <v>6</v>
      </c>
      <c r="U8" s="21">
        <v>6</v>
      </c>
      <c r="V8" s="21">
        <v>6</v>
      </c>
      <c r="W8" s="21">
        <v>6</v>
      </c>
    </row>
    <row r="9" spans="1:23" ht="15.75" thickBot="1" x14ac:dyDescent="0.3">
      <c r="D9" s="5" t="s">
        <v>20</v>
      </c>
      <c r="E9" s="4" t="str">
        <f>CONCATENATE(E6,"-",E5,"-",E4)</f>
        <v>2018-2-27</v>
      </c>
      <c r="L9" s="21">
        <v>7</v>
      </c>
      <c r="M9" s="21">
        <v>7</v>
      </c>
      <c r="N9" s="21">
        <v>7</v>
      </c>
      <c r="O9" s="21">
        <v>7</v>
      </c>
      <c r="P9" s="21">
        <v>7</v>
      </c>
      <c r="Q9" s="21">
        <v>7</v>
      </c>
      <c r="R9" s="21">
        <v>7</v>
      </c>
      <c r="S9" s="21">
        <v>7</v>
      </c>
      <c r="T9" s="21">
        <v>7</v>
      </c>
      <c r="U9" s="21">
        <v>7</v>
      </c>
      <c r="V9" s="21">
        <v>7</v>
      </c>
      <c r="W9" s="21">
        <v>7</v>
      </c>
    </row>
    <row r="10" spans="1:23" ht="15.75" thickBot="1" x14ac:dyDescent="0.3">
      <c r="L10" s="21">
        <v>8</v>
      </c>
      <c r="M10" s="21">
        <v>8</v>
      </c>
      <c r="N10" s="21">
        <v>8</v>
      </c>
      <c r="O10" s="21">
        <v>8</v>
      </c>
      <c r="P10" s="21">
        <v>8</v>
      </c>
      <c r="Q10" s="21">
        <v>8</v>
      </c>
      <c r="R10" s="21">
        <v>8</v>
      </c>
      <c r="S10" s="21">
        <v>8</v>
      </c>
      <c r="T10" s="21">
        <v>8</v>
      </c>
      <c r="U10" s="21">
        <v>8</v>
      </c>
      <c r="V10" s="21">
        <v>8</v>
      </c>
      <c r="W10" s="21">
        <v>8</v>
      </c>
    </row>
    <row r="11" spans="1:23" x14ac:dyDescent="0.25">
      <c r="A11" s="7" t="s">
        <v>10</v>
      </c>
      <c r="B11" s="9">
        <v>1.2499520675</v>
      </c>
      <c r="C11" s="6"/>
      <c r="D11" s="11" t="s">
        <v>10</v>
      </c>
      <c r="E11" s="17">
        <f>IFERROR(1/INDEX($B$11:$B$50,MATCH($D11,$A$11:$A$50,0)),"-")</f>
        <v>0.80003067797637772</v>
      </c>
      <c r="L11" s="21">
        <v>9</v>
      </c>
      <c r="M11" s="21">
        <v>9</v>
      </c>
      <c r="N11" s="21">
        <v>9</v>
      </c>
      <c r="O11" s="21">
        <v>9</v>
      </c>
      <c r="P11" s="21">
        <v>9</v>
      </c>
      <c r="Q11" s="21">
        <v>9</v>
      </c>
      <c r="R11" s="21">
        <v>9</v>
      </c>
      <c r="S11" s="21">
        <v>9</v>
      </c>
      <c r="T11" s="21">
        <v>9</v>
      </c>
      <c r="U11" s="21">
        <v>9</v>
      </c>
      <c r="V11" s="21">
        <v>9</v>
      </c>
      <c r="W11" s="21">
        <v>9</v>
      </c>
    </row>
    <row r="12" spans="1:23" x14ac:dyDescent="0.25">
      <c r="A12" s="7" t="s">
        <v>0</v>
      </c>
      <c r="B12" s="9">
        <v>1</v>
      </c>
      <c r="C12" s="6"/>
      <c r="D12" s="12" t="s">
        <v>0</v>
      </c>
      <c r="E12" s="18">
        <f t="shared" ref="E12:E45" si="0">IFERROR(1/INDEX($B$11:$B$50,MATCH($D12,$A$11:$A$50,0)),"-")</f>
        <v>1</v>
      </c>
      <c r="L12" s="21">
        <v>10</v>
      </c>
      <c r="M12" s="21">
        <v>10</v>
      </c>
      <c r="N12" s="21">
        <v>10</v>
      </c>
      <c r="O12" s="21">
        <v>10</v>
      </c>
      <c r="P12" s="21">
        <v>10</v>
      </c>
      <c r="Q12" s="21">
        <v>10</v>
      </c>
      <c r="R12" s="21">
        <v>10</v>
      </c>
      <c r="S12" s="21">
        <v>10</v>
      </c>
      <c r="T12" s="21">
        <v>10</v>
      </c>
      <c r="U12" s="21">
        <v>10</v>
      </c>
      <c r="V12" s="21">
        <v>10</v>
      </c>
      <c r="W12" s="21">
        <v>10</v>
      </c>
    </row>
    <row r="13" spans="1:23" x14ac:dyDescent="0.25">
      <c r="A13" s="7" t="s">
        <v>29</v>
      </c>
      <c r="B13" s="9">
        <v>2.5455997954999998</v>
      </c>
      <c r="C13" s="6"/>
      <c r="D13" s="12" t="s">
        <v>29</v>
      </c>
      <c r="E13" s="18">
        <f t="shared" si="0"/>
        <v>0.39283472671853459</v>
      </c>
      <c r="L13" s="21">
        <v>11</v>
      </c>
      <c r="M13" s="21">
        <v>11</v>
      </c>
      <c r="N13" s="21">
        <v>11</v>
      </c>
      <c r="O13" s="21">
        <v>11</v>
      </c>
      <c r="P13" s="21">
        <v>11</v>
      </c>
      <c r="Q13" s="21">
        <v>11</v>
      </c>
      <c r="R13" s="21">
        <v>11</v>
      </c>
      <c r="S13" s="21">
        <v>11</v>
      </c>
      <c r="T13" s="21">
        <v>11</v>
      </c>
      <c r="U13" s="21">
        <v>11</v>
      </c>
      <c r="V13" s="21">
        <v>11</v>
      </c>
      <c r="W13" s="21">
        <v>11</v>
      </c>
    </row>
    <row r="14" spans="1:23" x14ac:dyDescent="0.25">
      <c r="A14" s="7" t="s">
        <v>5</v>
      </c>
      <c r="B14" s="9">
        <v>200.65827315140001</v>
      </c>
      <c r="C14" s="6"/>
      <c r="D14" s="12" t="s">
        <v>5</v>
      </c>
      <c r="E14" s="18">
        <f t="shared" si="0"/>
        <v>4.983597158964302E-3</v>
      </c>
      <c r="L14" s="21">
        <v>12</v>
      </c>
      <c r="M14" s="21">
        <v>12</v>
      </c>
      <c r="N14" s="21">
        <v>12</v>
      </c>
      <c r="O14" s="21">
        <v>12</v>
      </c>
      <c r="P14" s="21">
        <v>12</v>
      </c>
      <c r="Q14" s="21">
        <v>12</v>
      </c>
      <c r="R14" s="21">
        <v>12</v>
      </c>
      <c r="S14" s="21">
        <v>12</v>
      </c>
      <c r="T14" s="21">
        <v>12</v>
      </c>
      <c r="U14" s="21">
        <v>12</v>
      </c>
      <c r="V14" s="21">
        <v>12</v>
      </c>
      <c r="W14" s="21">
        <v>12</v>
      </c>
    </row>
    <row r="15" spans="1:23" x14ac:dyDescent="0.25">
      <c r="A15" s="7" t="s">
        <v>2</v>
      </c>
      <c r="B15" s="9">
        <v>4.7587396945</v>
      </c>
      <c r="C15" s="6"/>
      <c r="D15" s="12" t="s">
        <v>2</v>
      </c>
      <c r="E15" s="18">
        <f t="shared" si="0"/>
        <v>0.2101396723077264</v>
      </c>
      <c r="L15" s="21">
        <v>13</v>
      </c>
      <c r="M15" s="21">
        <v>13</v>
      </c>
      <c r="N15" s="21">
        <v>13</v>
      </c>
      <c r="O15" s="21">
        <v>13</v>
      </c>
      <c r="P15" s="21">
        <v>13</v>
      </c>
      <c r="Q15" s="21">
        <v>13</v>
      </c>
      <c r="R15" s="21">
        <v>13</v>
      </c>
      <c r="S15" s="21">
        <v>13</v>
      </c>
      <c r="T15" s="21">
        <v>13</v>
      </c>
      <c r="U15" s="21">
        <v>13</v>
      </c>
      <c r="V15" s="21">
        <v>13</v>
      </c>
      <c r="W15" s="21">
        <v>13</v>
      </c>
    </row>
    <row r="16" spans="1:23" x14ac:dyDescent="0.25">
      <c r="A16" s="7" t="s">
        <v>3</v>
      </c>
      <c r="B16" s="9">
        <v>84.214226369299993</v>
      </c>
      <c r="C16" s="6"/>
      <c r="D16" s="12" t="s">
        <v>3</v>
      </c>
      <c r="E16" s="18">
        <f t="shared" si="0"/>
        <v>1.187447825756607E-2</v>
      </c>
      <c r="L16" s="21">
        <v>14</v>
      </c>
      <c r="M16" s="21">
        <v>14</v>
      </c>
      <c r="N16" s="21">
        <v>14</v>
      </c>
      <c r="O16" s="21">
        <v>14</v>
      </c>
      <c r="P16" s="21">
        <v>14</v>
      </c>
      <c r="Q16" s="21">
        <v>14</v>
      </c>
      <c r="R16" s="21">
        <v>14</v>
      </c>
      <c r="S16" s="21">
        <v>14</v>
      </c>
      <c r="T16" s="21">
        <v>14</v>
      </c>
      <c r="U16" s="21">
        <v>14</v>
      </c>
      <c r="V16" s="21">
        <v>14</v>
      </c>
      <c r="W16" s="21">
        <v>14</v>
      </c>
    </row>
    <row r="17" spans="1:23" x14ac:dyDescent="0.25">
      <c r="A17" s="7" t="s">
        <v>32</v>
      </c>
      <c r="B17" s="9">
        <v>2.7367546494999999</v>
      </c>
      <c r="C17" s="6"/>
      <c r="D17" s="12" t="s">
        <v>32</v>
      </c>
      <c r="E17" s="18">
        <f t="shared" si="0"/>
        <v>0.36539629161960069</v>
      </c>
      <c r="L17" s="21">
        <v>15</v>
      </c>
      <c r="M17" s="21">
        <v>15</v>
      </c>
      <c r="N17" s="21">
        <v>15</v>
      </c>
      <c r="O17" s="21">
        <v>15</v>
      </c>
      <c r="P17" s="21">
        <v>15</v>
      </c>
      <c r="Q17" s="21">
        <v>15</v>
      </c>
      <c r="R17" s="21">
        <v>15</v>
      </c>
      <c r="S17" s="21">
        <v>15</v>
      </c>
      <c r="T17" s="21">
        <v>15</v>
      </c>
      <c r="U17" s="21">
        <v>15</v>
      </c>
      <c r="V17" s="21">
        <v>15</v>
      </c>
      <c r="W17" s="21">
        <v>15</v>
      </c>
    </row>
    <row r="18" spans="1:23" x14ac:dyDescent="0.25">
      <c r="A18" s="7" t="s">
        <v>22</v>
      </c>
      <c r="B18" s="9">
        <v>2.9800600754</v>
      </c>
      <c r="C18" s="6"/>
      <c r="D18" s="12" t="s">
        <v>22</v>
      </c>
      <c r="E18" s="18">
        <f t="shared" si="0"/>
        <v>0.33556370499201249</v>
      </c>
      <c r="L18" s="21">
        <v>16</v>
      </c>
      <c r="M18" s="21">
        <v>16</v>
      </c>
      <c r="N18" s="21">
        <v>16</v>
      </c>
      <c r="O18" s="21">
        <v>16</v>
      </c>
      <c r="P18" s="21">
        <v>16</v>
      </c>
      <c r="Q18" s="21">
        <v>16</v>
      </c>
      <c r="R18" s="21">
        <v>16</v>
      </c>
      <c r="S18" s="21">
        <v>16</v>
      </c>
      <c r="T18" s="21">
        <v>16</v>
      </c>
      <c r="U18" s="21">
        <v>16</v>
      </c>
      <c r="V18" s="21">
        <v>16</v>
      </c>
      <c r="W18" s="21">
        <v>16</v>
      </c>
    </row>
    <row r="19" spans="1:23" x14ac:dyDescent="0.25">
      <c r="A19" s="7" t="s">
        <v>36</v>
      </c>
      <c r="B19" s="9">
        <v>2.9766089346000002</v>
      </c>
      <c r="C19" s="6"/>
      <c r="D19" s="12" t="s">
        <v>36</v>
      </c>
      <c r="E19" s="18">
        <f t="shared" si="0"/>
        <v>0.33595276436082494</v>
      </c>
      <c r="L19" s="21">
        <v>17</v>
      </c>
      <c r="M19" s="21">
        <v>17</v>
      </c>
      <c r="N19" s="21">
        <v>17</v>
      </c>
      <c r="O19" s="21">
        <v>17</v>
      </c>
      <c r="P19" s="21">
        <v>17</v>
      </c>
      <c r="Q19" s="21">
        <v>17</v>
      </c>
      <c r="R19" s="21">
        <v>17</v>
      </c>
      <c r="S19" s="21">
        <v>17</v>
      </c>
      <c r="T19" s="21">
        <v>17</v>
      </c>
      <c r="U19" s="21">
        <v>17</v>
      </c>
      <c r="V19" s="21">
        <v>17</v>
      </c>
      <c r="W19" s="21">
        <v>17</v>
      </c>
    </row>
    <row r="20" spans="1:23" x14ac:dyDescent="0.25">
      <c r="A20" s="7" t="s">
        <v>1</v>
      </c>
      <c r="B20" s="9">
        <v>0.56496452990000001</v>
      </c>
      <c r="C20" s="6"/>
      <c r="D20" s="12" t="s">
        <v>1</v>
      </c>
      <c r="E20" s="18">
        <f t="shared" si="0"/>
        <v>1.7700226245654789</v>
      </c>
      <c r="L20" s="21">
        <v>18</v>
      </c>
      <c r="M20" s="21">
        <v>18</v>
      </c>
      <c r="N20" s="21">
        <v>18</v>
      </c>
      <c r="O20" s="21">
        <v>18</v>
      </c>
      <c r="P20" s="21">
        <v>18</v>
      </c>
      <c r="Q20" s="21">
        <v>18</v>
      </c>
      <c r="R20" s="21">
        <v>18</v>
      </c>
      <c r="S20" s="21">
        <v>18</v>
      </c>
      <c r="T20" s="21">
        <v>18</v>
      </c>
      <c r="U20" s="21">
        <v>18</v>
      </c>
      <c r="V20" s="21">
        <v>18</v>
      </c>
      <c r="W20" s="21">
        <v>18</v>
      </c>
    </row>
    <row r="21" spans="1:23" x14ac:dyDescent="0.25">
      <c r="A21" s="7" t="s">
        <v>23</v>
      </c>
      <c r="B21" s="9">
        <v>41.085192049600003</v>
      </c>
      <c r="C21" s="6"/>
      <c r="D21" s="12" t="s">
        <v>23</v>
      </c>
      <c r="E21" s="18">
        <f t="shared" si="0"/>
        <v>2.4339669601464983E-2</v>
      </c>
      <c r="L21" s="21">
        <v>19</v>
      </c>
      <c r="M21" s="21">
        <v>19</v>
      </c>
      <c r="N21" s="21">
        <v>19</v>
      </c>
      <c r="O21" s="21">
        <v>19</v>
      </c>
      <c r="P21" s="21">
        <v>19</v>
      </c>
      <c r="Q21" s="21">
        <v>19</v>
      </c>
      <c r="R21" s="21">
        <v>19</v>
      </c>
      <c r="S21" s="21">
        <v>19</v>
      </c>
      <c r="T21" s="21">
        <v>19</v>
      </c>
      <c r="U21" s="21">
        <v>19</v>
      </c>
      <c r="V21" s="21">
        <v>19</v>
      </c>
      <c r="W21" s="21">
        <v>19</v>
      </c>
    </row>
    <row r="22" spans="1:23" x14ac:dyDescent="0.25">
      <c r="A22" s="7" t="s">
        <v>26</v>
      </c>
      <c r="B22" s="9">
        <v>4.7582284144000004</v>
      </c>
      <c r="C22" s="6"/>
      <c r="D22" s="12" t="s">
        <v>26</v>
      </c>
      <c r="E22" s="18">
        <f t="shared" si="0"/>
        <v>0.21016225218900031</v>
      </c>
      <c r="L22" s="21">
        <v>20</v>
      </c>
      <c r="M22" s="21">
        <v>20</v>
      </c>
      <c r="N22" s="21">
        <v>20</v>
      </c>
      <c r="O22" s="21">
        <v>20</v>
      </c>
      <c r="P22" s="21">
        <v>20</v>
      </c>
      <c r="Q22" s="21">
        <v>20</v>
      </c>
      <c r="R22" s="21">
        <v>20</v>
      </c>
      <c r="S22" s="21">
        <v>20</v>
      </c>
      <c r="T22" s="21">
        <v>20</v>
      </c>
      <c r="U22" s="21">
        <v>20</v>
      </c>
      <c r="V22" s="21">
        <v>20</v>
      </c>
      <c r="W22" s="21">
        <v>20</v>
      </c>
    </row>
    <row r="23" spans="1:23" x14ac:dyDescent="0.25">
      <c r="A23" s="7" t="s">
        <v>15</v>
      </c>
      <c r="B23" s="9">
        <v>6.1538953153999998</v>
      </c>
      <c r="C23" s="6"/>
      <c r="D23" s="12" t="s">
        <v>15</v>
      </c>
      <c r="E23" s="18">
        <f t="shared" si="0"/>
        <v>0.16249870183808945</v>
      </c>
      <c r="L23" s="21">
        <v>21</v>
      </c>
      <c r="M23" s="21">
        <v>21</v>
      </c>
      <c r="N23" s="21">
        <v>21</v>
      </c>
      <c r="O23" s="21">
        <v>21</v>
      </c>
      <c r="P23" s="21">
        <v>21</v>
      </c>
      <c r="Q23" s="21">
        <v>21</v>
      </c>
      <c r="R23" s="21">
        <v>21</v>
      </c>
      <c r="S23" s="21">
        <v>21</v>
      </c>
      <c r="T23" s="21">
        <v>21</v>
      </c>
      <c r="U23" s="21">
        <v>21</v>
      </c>
      <c r="V23" s="21">
        <v>21</v>
      </c>
      <c r="W23" s="21">
        <v>21</v>
      </c>
    </row>
    <row r="24" spans="1:23" x14ac:dyDescent="0.25">
      <c r="A24" s="7" t="s">
        <v>9</v>
      </c>
      <c r="B24" s="9">
        <v>9.1634179075999995</v>
      </c>
      <c r="C24" s="6"/>
      <c r="D24" s="12" t="s">
        <v>9</v>
      </c>
      <c r="E24" s="18">
        <f t="shared" si="0"/>
        <v>0.10912958571611311</v>
      </c>
      <c r="L24" s="21">
        <v>22</v>
      </c>
      <c r="M24" s="21">
        <v>22</v>
      </c>
      <c r="N24" s="21">
        <v>22</v>
      </c>
      <c r="O24" s="21">
        <v>22</v>
      </c>
      <c r="P24" s="21">
        <v>22</v>
      </c>
      <c r="Q24" s="21">
        <v>22</v>
      </c>
      <c r="R24" s="21">
        <v>22</v>
      </c>
      <c r="S24" s="21">
        <v>22</v>
      </c>
      <c r="T24" s="21">
        <v>22</v>
      </c>
      <c r="U24" s="21">
        <v>22</v>
      </c>
      <c r="V24" s="21">
        <v>22</v>
      </c>
      <c r="W24" s="21">
        <v>22</v>
      </c>
    </row>
    <row r="25" spans="1:23" x14ac:dyDescent="0.25">
      <c r="A25" s="7" t="s">
        <v>30</v>
      </c>
      <c r="B25" s="9">
        <v>14.718795935299999</v>
      </c>
      <c r="C25" s="6"/>
      <c r="D25" s="12" t="s">
        <v>30</v>
      </c>
      <c r="E25" s="18">
        <f t="shared" si="0"/>
        <v>6.7940339984040823E-2</v>
      </c>
      <c r="L25" s="21">
        <v>23</v>
      </c>
      <c r="M25" s="21">
        <v>23</v>
      </c>
      <c r="N25" s="21">
        <v>23</v>
      </c>
      <c r="O25" s="21">
        <v>23</v>
      </c>
      <c r="P25" s="21">
        <v>23</v>
      </c>
      <c r="Q25" s="21">
        <v>23</v>
      </c>
      <c r="R25" s="21">
        <v>23</v>
      </c>
      <c r="S25" s="21">
        <v>23</v>
      </c>
      <c r="T25" s="21">
        <v>23</v>
      </c>
      <c r="U25" s="21">
        <v>23</v>
      </c>
      <c r="V25" s="21">
        <v>23</v>
      </c>
      <c r="W25" s="21">
        <v>23</v>
      </c>
    </row>
    <row r="26" spans="1:23" x14ac:dyDescent="0.25">
      <c r="A26" s="7" t="s">
        <v>33</v>
      </c>
      <c r="B26" s="9">
        <v>1.0032594106999999</v>
      </c>
      <c r="C26" s="6"/>
      <c r="D26" s="12" t="s">
        <v>33</v>
      </c>
      <c r="E26" s="18">
        <f t="shared" si="0"/>
        <v>0.9967511785434181</v>
      </c>
      <c r="L26" s="21">
        <v>24</v>
      </c>
      <c r="M26" s="21">
        <v>24</v>
      </c>
      <c r="N26" s="21">
        <v>24</v>
      </c>
      <c r="O26" s="21">
        <v>24</v>
      </c>
      <c r="P26" s="21">
        <v>24</v>
      </c>
      <c r="Q26" s="21">
        <v>24</v>
      </c>
      <c r="R26" s="21">
        <v>24</v>
      </c>
      <c r="S26" s="21">
        <v>24</v>
      </c>
      <c r="T26" s="21">
        <v>24</v>
      </c>
      <c r="U26" s="21">
        <v>24</v>
      </c>
      <c r="V26" s="21">
        <v>24</v>
      </c>
      <c r="W26" s="21">
        <v>24</v>
      </c>
    </row>
    <row r="27" spans="1:23" x14ac:dyDescent="0.25">
      <c r="A27" s="7" t="s">
        <v>34</v>
      </c>
      <c r="B27" s="9">
        <v>0.78615709079999996</v>
      </c>
      <c r="C27" s="6"/>
      <c r="D27" s="12" t="s">
        <v>34</v>
      </c>
      <c r="E27" s="18">
        <f t="shared" si="0"/>
        <v>1.2720104056841766</v>
      </c>
      <c r="L27" s="21">
        <v>25</v>
      </c>
      <c r="M27" s="21">
        <v>25</v>
      </c>
      <c r="N27" s="21">
        <v>25</v>
      </c>
      <c r="O27" s="21">
        <v>25</v>
      </c>
      <c r="P27" s="21">
        <v>25</v>
      </c>
      <c r="Q27" s="21">
        <v>25</v>
      </c>
      <c r="R27" s="21">
        <v>25</v>
      </c>
      <c r="S27" s="21">
        <v>25</v>
      </c>
      <c r="T27" s="21">
        <v>25</v>
      </c>
      <c r="U27" s="21">
        <v>25</v>
      </c>
      <c r="V27" s="21">
        <v>25</v>
      </c>
      <c r="W27" s="21">
        <v>25</v>
      </c>
    </row>
    <row r="28" spans="1:23" x14ac:dyDescent="0.25">
      <c r="A28" s="7" t="s">
        <v>7</v>
      </c>
      <c r="B28" s="9">
        <v>842.65993481179999</v>
      </c>
      <c r="C28" s="6"/>
      <c r="D28" s="12" t="s">
        <v>7</v>
      </c>
      <c r="E28" s="18">
        <f t="shared" si="0"/>
        <v>1.186718341157801E-3</v>
      </c>
      <c r="L28" s="21">
        <v>26</v>
      </c>
      <c r="M28" s="21">
        <v>26</v>
      </c>
      <c r="N28" s="21">
        <v>26</v>
      </c>
      <c r="O28" s="21">
        <v>26</v>
      </c>
      <c r="P28" s="21">
        <v>26</v>
      </c>
      <c r="Q28" s="21">
        <v>26</v>
      </c>
      <c r="R28" s="21">
        <v>26</v>
      </c>
      <c r="S28" s="21">
        <v>26</v>
      </c>
      <c r="T28" s="21">
        <v>26</v>
      </c>
      <c r="U28" s="21">
        <v>26</v>
      </c>
      <c r="V28" s="21">
        <v>26</v>
      </c>
      <c r="W28" s="21">
        <v>26</v>
      </c>
    </row>
    <row r="29" spans="1:23" x14ac:dyDescent="0.25">
      <c r="A29" s="7" t="s">
        <v>12</v>
      </c>
      <c r="B29" s="9">
        <v>6.1527449351000003</v>
      </c>
      <c r="C29" s="6"/>
      <c r="D29" s="12" t="s">
        <v>12</v>
      </c>
      <c r="E29" s="18">
        <f t="shared" si="0"/>
        <v>0.16252908426208748</v>
      </c>
      <c r="L29" s="21">
        <v>27</v>
      </c>
      <c r="M29" s="21">
        <v>27</v>
      </c>
      <c r="N29" s="21">
        <v>27</v>
      </c>
      <c r="O29" s="21">
        <v>27</v>
      </c>
      <c r="P29" s="21">
        <v>27</v>
      </c>
      <c r="Q29" s="21">
        <v>27</v>
      </c>
      <c r="R29" s="21">
        <v>27</v>
      </c>
      <c r="S29" s="21">
        <v>27</v>
      </c>
      <c r="T29" s="21">
        <v>27</v>
      </c>
      <c r="U29" s="21">
        <v>27</v>
      </c>
      <c r="V29" s="21">
        <v>27</v>
      </c>
      <c r="W29" s="21">
        <v>27</v>
      </c>
    </row>
    <row r="30" spans="1:23" x14ac:dyDescent="0.25">
      <c r="A30" s="7" t="s">
        <v>4</v>
      </c>
      <c r="B30" s="9">
        <v>0.63910014699999995</v>
      </c>
      <c r="C30" s="6"/>
      <c r="D30" s="12" t="s">
        <v>4</v>
      </c>
      <c r="E30" s="18">
        <f t="shared" si="0"/>
        <v>1.564699999982945</v>
      </c>
      <c r="L30" s="21">
        <v>28</v>
      </c>
      <c r="M30" s="21">
        <v>28</v>
      </c>
      <c r="N30" s="21">
        <v>28</v>
      </c>
      <c r="O30" s="21">
        <v>28</v>
      </c>
      <c r="P30" s="21">
        <v>28</v>
      </c>
      <c r="Q30" s="21">
        <v>28</v>
      </c>
      <c r="R30" s="21">
        <v>28</v>
      </c>
      <c r="S30" s="21">
        <v>28</v>
      </c>
      <c r="T30" s="21">
        <v>28</v>
      </c>
      <c r="U30" s="21">
        <v>28</v>
      </c>
      <c r="V30" s="21">
        <v>28</v>
      </c>
      <c r="W30" s="21">
        <v>28</v>
      </c>
    </row>
    <row r="31" spans="1:23" x14ac:dyDescent="0.25">
      <c r="A31" s="7" t="s">
        <v>62</v>
      </c>
      <c r="B31" s="9">
        <v>79.184508212400004</v>
      </c>
      <c r="C31" s="6"/>
      <c r="D31" s="12" t="s">
        <v>27</v>
      </c>
      <c r="E31" s="18">
        <f t="shared" si="0"/>
        <v>0.32549093027389908</v>
      </c>
      <c r="L31" s="21">
        <v>29</v>
      </c>
      <c r="M31" s="21"/>
      <c r="N31" s="21">
        <v>29</v>
      </c>
      <c r="O31" s="21">
        <v>29</v>
      </c>
      <c r="P31" s="21">
        <v>29</v>
      </c>
      <c r="Q31" s="21">
        <v>29</v>
      </c>
      <c r="R31" s="21">
        <v>29</v>
      </c>
      <c r="S31" s="21">
        <v>29</v>
      </c>
      <c r="T31" s="21">
        <v>29</v>
      </c>
      <c r="U31" s="21">
        <v>29</v>
      </c>
      <c r="V31" s="21">
        <v>29</v>
      </c>
      <c r="W31" s="21">
        <v>29</v>
      </c>
    </row>
    <row r="32" spans="1:23" x14ac:dyDescent="0.25">
      <c r="A32" s="7" t="s">
        <v>11</v>
      </c>
      <c r="B32" s="9">
        <v>16.231865533299999</v>
      </c>
      <c r="C32" s="6"/>
      <c r="D32" s="12" t="s">
        <v>11</v>
      </c>
      <c r="E32" s="18">
        <f t="shared" si="0"/>
        <v>6.1607213166501404E-2</v>
      </c>
      <c r="L32" s="21">
        <v>30</v>
      </c>
      <c r="M32" s="21"/>
      <c r="N32" s="21">
        <v>30</v>
      </c>
      <c r="O32" s="21">
        <v>30</v>
      </c>
      <c r="P32" s="21">
        <v>30</v>
      </c>
      <c r="Q32" s="21">
        <v>30</v>
      </c>
      <c r="R32" s="21">
        <v>30</v>
      </c>
      <c r="S32" s="21">
        <v>30</v>
      </c>
      <c r="T32" s="21">
        <v>30</v>
      </c>
      <c r="U32" s="21">
        <v>30</v>
      </c>
      <c r="V32" s="21">
        <v>30</v>
      </c>
      <c r="W32" s="21">
        <v>30</v>
      </c>
    </row>
    <row r="33" spans="1:23" x14ac:dyDescent="0.25">
      <c r="A33" s="7" t="s">
        <v>28</v>
      </c>
      <c r="B33" s="9">
        <v>24.677573975800001</v>
      </c>
      <c r="C33" s="6"/>
      <c r="D33" s="12" t="s">
        <v>28</v>
      </c>
      <c r="E33" s="18">
        <f t="shared" si="0"/>
        <v>4.0522621914968117E-2</v>
      </c>
      <c r="L33" s="21">
        <v>31</v>
      </c>
      <c r="M33" s="21"/>
      <c r="N33" s="21">
        <v>31</v>
      </c>
      <c r="O33" s="21"/>
      <c r="P33" s="21">
        <v>31</v>
      </c>
      <c r="Q33" s="21"/>
      <c r="R33" s="21">
        <v>31</v>
      </c>
      <c r="S33" s="21">
        <v>31</v>
      </c>
      <c r="T33" s="21"/>
      <c r="U33" s="21">
        <v>31</v>
      </c>
      <c r="V33" s="21"/>
      <c r="W33" s="21">
        <v>31</v>
      </c>
    </row>
    <row r="34" spans="1:23" x14ac:dyDescent="0.25">
      <c r="A34" s="7" t="s">
        <v>27</v>
      </c>
      <c r="B34" s="9">
        <v>3.0722822266000001</v>
      </c>
      <c r="C34" s="6"/>
      <c r="D34" s="12" t="s">
        <v>13</v>
      </c>
      <c r="E34" s="18">
        <f t="shared" si="0"/>
        <v>0.92487291640568037</v>
      </c>
    </row>
    <row r="35" spans="1:23" x14ac:dyDescent="0.25">
      <c r="A35" s="7" t="s">
        <v>13</v>
      </c>
      <c r="B35" s="9">
        <v>1.0812296287000001</v>
      </c>
      <c r="C35" s="6"/>
      <c r="D35" s="12" t="s">
        <v>14</v>
      </c>
      <c r="E35" s="18">
        <f t="shared" si="0"/>
        <v>0.37549796016600295</v>
      </c>
    </row>
    <row r="36" spans="1:23" x14ac:dyDescent="0.25">
      <c r="A36" s="7" t="s">
        <v>14</v>
      </c>
      <c r="B36" s="9">
        <v>2.6631303124999999</v>
      </c>
      <c r="C36" s="6"/>
      <c r="D36" s="12" t="s">
        <v>35</v>
      </c>
      <c r="E36" s="18">
        <f t="shared" si="0"/>
        <v>1.3560100528922623</v>
      </c>
    </row>
    <row r="37" spans="1:23" x14ac:dyDescent="0.25">
      <c r="A37" s="7" t="s">
        <v>35</v>
      </c>
      <c r="B37" s="9">
        <v>0.73745765959999998</v>
      </c>
      <c r="C37" s="6"/>
      <c r="D37" s="12" t="s">
        <v>8</v>
      </c>
      <c r="E37" s="18">
        <f t="shared" si="0"/>
        <v>0.15522817460292834</v>
      </c>
    </row>
    <row r="38" spans="1:23" x14ac:dyDescent="0.25">
      <c r="A38" s="7" t="s">
        <v>8</v>
      </c>
      <c r="B38" s="9">
        <v>6.4421294817000003</v>
      </c>
      <c r="C38" s="6"/>
      <c r="D38" s="12" t="s">
        <v>24</v>
      </c>
      <c r="E38" s="18">
        <f t="shared" si="0"/>
        <v>0.20146784265843626</v>
      </c>
    </row>
    <row r="39" spans="1:23" x14ac:dyDescent="0.25">
      <c r="A39" s="7" t="s">
        <v>24</v>
      </c>
      <c r="B39" s="9">
        <v>4.9635712916000001</v>
      </c>
      <c r="C39" s="6"/>
      <c r="D39" s="12" t="s">
        <v>6</v>
      </c>
      <c r="E39" s="18">
        <f t="shared" si="0"/>
        <v>0.96378195261172306</v>
      </c>
    </row>
    <row r="40" spans="1:23" x14ac:dyDescent="0.25">
      <c r="A40" s="7" t="s">
        <v>6</v>
      </c>
      <c r="B40" s="9">
        <v>1.0375790886</v>
      </c>
      <c r="C40" s="6"/>
      <c r="D40" s="12" t="s">
        <v>31</v>
      </c>
      <c r="E40" s="18">
        <f t="shared" si="0"/>
        <v>1.9607032317075074E-2</v>
      </c>
    </row>
    <row r="41" spans="1:23" x14ac:dyDescent="0.25">
      <c r="A41" s="7" t="s">
        <v>31</v>
      </c>
      <c r="B41" s="9">
        <v>51.002109030500002</v>
      </c>
      <c r="C41" s="6"/>
      <c r="D41" s="12" t="s">
        <v>25</v>
      </c>
      <c r="E41" s="18">
        <f t="shared" si="0"/>
        <v>9.3032298802120429E-5</v>
      </c>
    </row>
    <row r="42" spans="1:23" x14ac:dyDescent="0.25">
      <c r="A42" s="7" t="s">
        <v>25</v>
      </c>
      <c r="B42" s="9">
        <v>10748.955071259699</v>
      </c>
      <c r="C42" s="6"/>
      <c r="D42" s="12" t="s">
        <v>21</v>
      </c>
      <c r="E42" s="18">
        <f t="shared" si="0"/>
        <v>2.2743558995578853E-2</v>
      </c>
    </row>
    <row r="43" spans="1:23" x14ac:dyDescent="0.25">
      <c r="A43" s="7" t="s">
        <v>21</v>
      </c>
      <c r="B43" s="9">
        <v>43.968492362799999</v>
      </c>
      <c r="C43" s="6"/>
      <c r="D43" s="13" t="s">
        <v>38</v>
      </c>
      <c r="E43" s="18" t="str">
        <f t="shared" si="0"/>
        <v>-</v>
      </c>
    </row>
    <row r="44" spans="1:23" x14ac:dyDescent="0.25">
      <c r="A44" s="8" t="s">
        <v>37</v>
      </c>
      <c r="B44" s="10" t="s">
        <v>63</v>
      </c>
      <c r="D44" s="13" t="s">
        <v>39</v>
      </c>
      <c r="E44" s="18" t="str">
        <f t="shared" si="0"/>
        <v>-</v>
      </c>
    </row>
    <row r="45" spans="1:23" ht="15.75" thickBot="1" x14ac:dyDescent="0.3">
      <c r="A45" s="8"/>
      <c r="B45" s="10"/>
      <c r="D45" s="14" t="s">
        <v>28</v>
      </c>
      <c r="E45" s="19">
        <f t="shared" si="0"/>
        <v>4.0522621914968117E-2</v>
      </c>
    </row>
    <row r="46" spans="1:23" x14ac:dyDescent="0.25">
      <c r="B46" s="10"/>
    </row>
    <row r="47" spans="1:23" x14ac:dyDescent="0.25">
      <c r="B47" s="10"/>
    </row>
    <row r="48" spans="1:23" x14ac:dyDescent="0.25">
      <c r="B48" s="10"/>
    </row>
    <row r="49" spans="2:2" x14ac:dyDescent="0.25">
      <c r="B49" s="10"/>
    </row>
  </sheetData>
  <dataValidations count="4">
    <dataValidation type="list" allowBlank="1" showInputMessage="1" showErrorMessage="1" sqref="E7 B10">
      <formula1>"USD, CAD, GBP"</formula1>
    </dataValidation>
    <dataValidation type="list" allowBlank="1" showInputMessage="1" showErrorMessage="1" sqref="E6">
      <formula1>"1999,2000,2001,2002,2003,2004,2005,2006,2007,2008,2009,2010,2011,2012,2013,2014,2015,2016,2017,2018"</formula1>
    </dataValidation>
    <dataValidation type="list" allowBlank="1" showInputMessage="1" showErrorMessage="1" sqref="E5">
      <formula1>Months</formula1>
    </dataValidation>
    <dataValidation type="list" allowBlank="1" showInputMessage="1" showErrorMessage="1" sqref="E4">
      <formula1>Validation</formula1>
    </dataValidation>
  </dataValidations>
  <pageMargins left="0.7" right="0.7" top="0.75" bottom="0.75" header="0.3" footer="0.3"/>
  <pageSetup orientation="portrait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in1">
                <anchor moveWithCells="1" sizeWithCells="1">
                  <from>
                    <xdr:col>6</xdr:col>
                    <xdr:colOff>9525</xdr:colOff>
                    <xdr:row>3</xdr:row>
                    <xdr:rowOff>9525</xdr:rowOff>
                  </from>
                  <to>
                    <xdr:col>8</xdr:col>
                    <xdr:colOff>314325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Documentation</vt:lpstr>
      <vt:lpstr>Exchange Rate Data</vt:lpstr>
      <vt:lpstr>base</vt:lpstr>
      <vt:lpstr>date</vt:lpstr>
      <vt:lpstr>Months</vt:lpstr>
      <vt:lpstr>rate2</vt:lpstr>
      <vt:lpstr>therange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Megaffin</dc:creator>
  <cp:lastModifiedBy>Dennis Megaffin</cp:lastModifiedBy>
  <dcterms:created xsi:type="dcterms:W3CDTF">2018-10-05T17:22:30Z</dcterms:created>
  <dcterms:modified xsi:type="dcterms:W3CDTF">2018-10-09T20:57:34Z</dcterms:modified>
</cp:coreProperties>
</file>