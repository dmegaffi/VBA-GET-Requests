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355" windowHeight="6915" activeTab="1"/>
  </bookViews>
  <sheets>
    <sheet name="Documentation" sheetId="2" r:id="rId1"/>
    <sheet name="Exchange Rate Data" sheetId="1" r:id="rId2"/>
    <sheet name="Sheet3" sheetId="3" r:id="rId3"/>
  </sheets>
  <functionGroups builtInGroupCount="17"/>
  <definedNames>
    <definedName name="base">'Exchange Rate Data'!$E$7</definedName>
    <definedName name="date">'Exchange Rate Data'!$E$9</definedName>
    <definedName name="rate1">'Exchange Rate Data'!#REF!</definedName>
    <definedName name="rate2">'Exchange Rate Data'!$B$10</definedName>
    <definedName name="therange">'Exchange Rate Data'!$B$11:$B$49</definedName>
  </definedNames>
  <calcPr calcId="145621"/>
</workbook>
</file>

<file path=xl/calcChain.xml><?xml version="1.0" encoding="utf-8"?>
<calcChain xmlns="http://schemas.openxmlformats.org/spreadsheetml/2006/main">
  <c r="E12" i="1" l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11" i="1"/>
  <c r="E9" i="1" l="1"/>
</calcChain>
</file>

<file path=xl/sharedStrings.xml><?xml version="1.0" encoding="utf-8"?>
<sst xmlns="http://schemas.openxmlformats.org/spreadsheetml/2006/main" count="88" uniqueCount="54">
  <si>
    <t>CAD</t>
  </si>
  <si>
    <t>GBP</t>
  </si>
  <si>
    <t>ISK</t>
  </si>
  <si>
    <t>DKK</t>
  </si>
  <si>
    <t>JPY</t>
  </si>
  <si>
    <t>EUR</t>
  </si>
  <si>
    <t>HUF</t>
  </si>
  <si>
    <t>SGD</t>
  </si>
  <si>
    <t>KRW</t>
  </si>
  <si>
    <t>SEK</t>
  </si>
  <si>
    <t>ZAR</t>
  </si>
  <si>
    <t>BGN</t>
  </si>
  <si>
    <t>CZK</t>
  </si>
  <si>
    <t>HKD</t>
  </si>
  <si>
    <t>NZD</t>
  </si>
  <si>
    <t>PLN</t>
  </si>
  <si>
    <t>NOK</t>
  </si>
  <si>
    <t>Day:</t>
  </si>
  <si>
    <t>Month:</t>
  </si>
  <si>
    <t>Year:</t>
  </si>
  <si>
    <t>Base Currency:</t>
  </si>
  <si>
    <t>Searched Date:</t>
  </si>
  <si>
    <t>RUB</t>
  </si>
  <si>
    <t>TRY</t>
  </si>
  <si>
    <t>PHP</t>
  </si>
  <si>
    <t>CNY</t>
  </si>
  <si>
    <t>IDR</t>
  </si>
  <si>
    <t>HRK</t>
  </si>
  <si>
    <t>MYR</t>
  </si>
  <si>
    <t>THB</t>
  </si>
  <si>
    <t>BRL</t>
  </si>
  <si>
    <t>MXN</t>
  </si>
  <si>
    <t>INR</t>
  </si>
  <si>
    <t>ILS</t>
  </si>
  <si>
    <t>AUD</t>
  </si>
  <si>
    <t>USD</t>
  </si>
  <si>
    <t>CHF</t>
  </si>
  <si>
    <t>{"data":{"date":"2018-10-08","rates":{"BGN":1.3112973517,"CAD":1,"BRL":2.8892390211,"HUF":217.8612135434,"DKK":5.0016091183,"JPY":87.2343278579,"ILS":2.7894736842,"TRY":4.7223600402,"RON":3.129399933,"GBP":0.5900771036,"PHP":41.6030841435,"HRK":4.9765336909,"NOK":6.3749916192,"ZAR":11.4388199799,"MXN":14.5062018103,"AUD":1.0889708347,"USD":0.7695608448,"KRW":874.8038887026,"HKD":6.0257458934,"EUR":0.6704659739,"ISK":88.2333221589,"CZK":17.255782769,"THB":25.3610459269,"MYR":3.1971169963,"NZD":1.1930942005,"PLN":2.888434462,"CHF":0.7640630238,"SEK":7.0038887026,"CNY":5.3303385853,"SGD":1.0656386188,"INR":56.9949715052,"IDR":11710.794502179,"RUB":51.4297686892},"base":"CAD"}}</t>
  </si>
  <si>
    <t>RON</t>
  </si>
  <si>
    <t>bas</t>
  </si>
  <si>
    <t>"BGN":1.3112973517,"CAD":1,"BRL":2.8892390211,"HUF":217.8612135434,"DKK":5.0016091183,"JPY":87.2343278579,"ILS":2.7894736842,"TRY":4.7223600402,"RON":3.129399933,"GBP":0.5900771036,"PHP":41.6030841435,"HRK":4.9765336909,"NOK":6.3749916192,"ZAR":11.4388199799,"MXN":14.5062018103,"AUD":1.0889708347,"USD":0.7695608448,"KRW":874.8038887026,"HKD":6.0257458934,"EUR":0.6704659739,"ISK":88.2333221589,"CZK":17.255782769,"THB":25.3610459269,"MYR":3.1971169963,"NZD":1.1930942005,"PLN":2.888434462,"CHF":0.7640630238,"SEK":7.0038887026,"CNY":5.3303385853,"SGD":1.0656386188,"INR":56.9949715052,"IDR":11710.794502179,"RUB":51.4297686892},"base":"CAD"}}</t>
  </si>
  <si>
    <t>LTL</t>
  </si>
  <si>
    <t>LVL</t>
  </si>
  <si>
    <t>:"CAD"</t>
  </si>
  <si>
    <t>Author:</t>
  </si>
  <si>
    <t>Dennis Megaffin</t>
  </si>
  <si>
    <t>Date Created</t>
  </si>
  <si>
    <t>Oct-9-2018</t>
  </si>
  <si>
    <t>Purpose:</t>
  </si>
  <si>
    <t>To pull exchange rate data into excel for increased efficiency when creating / monitoring financial models and reports</t>
  </si>
  <si>
    <t>FYI:</t>
  </si>
  <si>
    <t>About:</t>
  </si>
  <si>
    <t>This sheet will pull current and historical exchange rate data from this website http://exchangeratesapi.io/ sourced from the European Central Bank</t>
  </si>
  <si>
    <t>Data can only be pulled up until 1999.
If you pull data from a future date you will receive the most current exchange rate information (most likely yesterday's numbers)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</si>
</sst>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0.00000"/>
    <numFmt numFmtId="171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0" fillId="0" borderId="8" xfId="0" applyBorder="1" applyAlignment="1">
      <alignment horizontal="center" vertical="center"/>
    </xf>
    <xf numFmtId="0" fontId="1" fillId="0" borderId="1" xfId="0" applyFont="1" applyBorder="1"/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165" fontId="0" fillId="0" borderId="0" xfId="0" applyNumberFormat="1" applyBorder="1"/>
    <xf numFmtId="165" fontId="0" fillId="0" borderId="0" xfId="0" applyNumberFormat="1"/>
    <xf numFmtId="0" fontId="1" fillId="0" borderId="9" xfId="0" applyFont="1" applyBorder="1"/>
    <xf numFmtId="0" fontId="1" fillId="0" borderId="10" xfId="0" applyFont="1" applyBorder="1"/>
    <xf numFmtId="0" fontId="1" fillId="0" borderId="10" xfId="0" applyFont="1" applyFill="1" applyBorder="1"/>
    <xf numFmtId="0" fontId="1" fillId="0" borderId="11" xfId="0" applyFont="1" applyFill="1" applyBorder="1"/>
    <xf numFmtId="0" fontId="0" fillId="0" borderId="0" xfId="0" applyAlignment="1">
      <alignment vertical="top" wrapText="1"/>
    </xf>
    <xf numFmtId="0" fontId="0" fillId="0" borderId="0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4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0" borderId="6" xfId="0" applyNumberFormat="1" applyBorder="1" applyAlignment="1">
      <alignment horizontal="center" vertical="center"/>
    </xf>
    <xf numFmtId="171" fontId="0" fillId="0" borderId="7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171450</xdr:rowOff>
        </xdr:from>
        <xdr:to>
          <xdr:col>9</xdr:col>
          <xdr:colOff>28575</xdr:colOff>
          <xdr:row>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Dated Exchange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5"/>
  <sheetViews>
    <sheetView workbookViewId="0">
      <selection activeCell="G41" sqref="G40:G41"/>
    </sheetView>
  </sheetViews>
  <sheetFormatPr defaultRowHeight="15" x14ac:dyDescent="0.25"/>
  <cols>
    <col min="1" max="1" width="12.5703125" bestFit="1" customWidth="1"/>
  </cols>
  <sheetData>
    <row r="1" spans="1:6" ht="15.75" thickBot="1" x14ac:dyDescent="0.3">
      <c r="A1" s="31" t="s">
        <v>44</v>
      </c>
      <c r="B1" s="25" t="s">
        <v>45</v>
      </c>
      <c r="C1" s="26"/>
      <c r="D1" s="26"/>
      <c r="E1" s="26"/>
      <c r="F1" s="27"/>
    </row>
    <row r="2" spans="1:6" ht="15.75" thickBot="1" x14ac:dyDescent="0.3">
      <c r="A2" s="31" t="s">
        <v>46</v>
      </c>
      <c r="B2" s="25" t="s">
        <v>47</v>
      </c>
      <c r="C2" s="26"/>
      <c r="D2" s="26"/>
      <c r="E2" s="26"/>
      <c r="F2" s="27"/>
    </row>
    <row r="3" spans="1:6" ht="15" customHeight="1" x14ac:dyDescent="0.25">
      <c r="A3" s="32" t="s">
        <v>48</v>
      </c>
      <c r="B3" s="28" t="s">
        <v>49</v>
      </c>
      <c r="C3" s="29"/>
      <c r="D3" s="29"/>
      <c r="E3" s="29"/>
      <c r="F3" s="30"/>
    </row>
    <row r="4" spans="1:6" x14ac:dyDescent="0.25">
      <c r="A4" s="33"/>
      <c r="B4" s="23"/>
      <c r="C4" s="19"/>
      <c r="D4" s="19"/>
      <c r="E4" s="19"/>
      <c r="F4" s="20"/>
    </row>
    <row r="5" spans="1:6" ht="15.75" thickBot="1" x14ac:dyDescent="0.3">
      <c r="A5" s="34"/>
      <c r="B5" s="24"/>
      <c r="C5" s="21"/>
      <c r="D5" s="21"/>
      <c r="E5" s="21"/>
      <c r="F5" s="22"/>
    </row>
    <row r="6" spans="1:6" ht="15" customHeight="1" x14ac:dyDescent="0.25">
      <c r="A6" s="32" t="s">
        <v>51</v>
      </c>
      <c r="B6" s="28" t="s">
        <v>52</v>
      </c>
      <c r="C6" s="29"/>
      <c r="D6" s="29"/>
      <c r="E6" s="29"/>
      <c r="F6" s="30"/>
    </row>
    <row r="7" spans="1:6" x14ac:dyDescent="0.25">
      <c r="A7" s="33"/>
      <c r="B7" s="23"/>
      <c r="C7" s="19"/>
      <c r="D7" s="19"/>
      <c r="E7" s="19"/>
      <c r="F7" s="20"/>
    </row>
    <row r="8" spans="1:6" x14ac:dyDescent="0.25">
      <c r="A8" s="33"/>
      <c r="B8" s="23"/>
      <c r="C8" s="19"/>
      <c r="D8" s="19"/>
      <c r="E8" s="19"/>
      <c r="F8" s="20"/>
    </row>
    <row r="9" spans="1:6" ht="15.75" thickBot="1" x14ac:dyDescent="0.3">
      <c r="A9" s="34"/>
      <c r="B9" s="24"/>
      <c r="C9" s="21"/>
      <c r="D9" s="21"/>
      <c r="E9" s="21"/>
      <c r="F9" s="22"/>
    </row>
    <row r="10" spans="1:6" ht="15" customHeight="1" x14ac:dyDescent="0.25">
      <c r="A10" s="32" t="s">
        <v>50</v>
      </c>
      <c r="B10" s="28" t="s">
        <v>53</v>
      </c>
      <c r="C10" s="29"/>
      <c r="D10" s="29"/>
      <c r="E10" s="29"/>
      <c r="F10" s="30"/>
    </row>
    <row r="11" spans="1:6" x14ac:dyDescent="0.25">
      <c r="A11" s="33"/>
      <c r="B11" s="23"/>
      <c r="C11" s="19"/>
      <c r="D11" s="19"/>
      <c r="E11" s="19"/>
      <c r="F11" s="20"/>
    </row>
    <row r="12" spans="1:6" x14ac:dyDescent="0.25">
      <c r="A12" s="33"/>
      <c r="B12" s="23"/>
      <c r="C12" s="19"/>
      <c r="D12" s="19"/>
      <c r="E12" s="19"/>
      <c r="F12" s="20"/>
    </row>
    <row r="13" spans="1:6" ht="15.75" thickBot="1" x14ac:dyDescent="0.3">
      <c r="A13" s="34"/>
      <c r="B13" s="24"/>
      <c r="C13" s="21"/>
      <c r="D13" s="21"/>
      <c r="E13" s="21"/>
      <c r="F13" s="22"/>
    </row>
    <row r="14" spans="1:6" x14ac:dyDescent="0.25">
      <c r="B14" s="18"/>
      <c r="C14" s="18"/>
      <c r="D14" s="18"/>
      <c r="E14" s="18"/>
      <c r="F14" s="18"/>
    </row>
    <row r="15" spans="1:6" x14ac:dyDescent="0.25">
      <c r="B15" s="18"/>
      <c r="C15" s="18"/>
      <c r="D15" s="18"/>
      <c r="E15" s="18"/>
      <c r="F15" s="18"/>
    </row>
  </sheetData>
  <mergeCells count="8">
    <mergeCell ref="B1:F1"/>
    <mergeCell ref="B2:F2"/>
    <mergeCell ref="A3:A5"/>
    <mergeCell ref="A6:A9"/>
    <mergeCell ref="A10:A13"/>
    <mergeCell ref="B3:F5"/>
    <mergeCell ref="B6:F9"/>
    <mergeCell ref="B10:F13"/>
  </mergeCells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9"/>
  <sheetViews>
    <sheetView tabSelected="1" topLeftCell="D8" workbookViewId="0">
      <selection activeCell="H29" sqref="H29"/>
    </sheetView>
  </sheetViews>
  <sheetFormatPr defaultRowHeight="15" x14ac:dyDescent="0.25"/>
  <cols>
    <col min="1" max="1" width="17.28515625" hidden="1" customWidth="1"/>
    <col min="2" max="2" width="16.42578125" hidden="1" customWidth="1"/>
    <col min="3" max="3" width="9.140625" hidden="1" customWidth="1"/>
    <col min="4" max="4" width="14.42578125" customWidth="1"/>
    <col min="5" max="5" width="12" customWidth="1"/>
  </cols>
  <sheetData>
    <row r="1" spans="1:5" hidden="1" x14ac:dyDescent="0.25">
      <c r="A1" t="s">
        <v>37</v>
      </c>
    </row>
    <row r="2" spans="1:5" x14ac:dyDescent="0.25">
      <c r="B2" t="s">
        <v>40</v>
      </c>
    </row>
    <row r="3" spans="1:5" ht="15.75" thickBot="1" x14ac:dyDescent="0.3"/>
    <row r="4" spans="1:5" x14ac:dyDescent="0.25">
      <c r="D4" s="4" t="s">
        <v>17</v>
      </c>
      <c r="E4" s="1">
        <v>24</v>
      </c>
    </row>
    <row r="5" spans="1:5" x14ac:dyDescent="0.25">
      <c r="D5" s="5" t="s">
        <v>18</v>
      </c>
      <c r="E5" s="2">
        <v>12</v>
      </c>
    </row>
    <row r="6" spans="1:5" x14ac:dyDescent="0.25">
      <c r="D6" s="5" t="s">
        <v>19</v>
      </c>
      <c r="E6" s="2">
        <v>2013</v>
      </c>
    </row>
    <row r="7" spans="1:5" ht="15.75" thickBot="1" x14ac:dyDescent="0.3">
      <c r="D7" s="6" t="s">
        <v>20</v>
      </c>
      <c r="E7" s="3" t="s">
        <v>0</v>
      </c>
    </row>
    <row r="8" spans="1:5" ht="15.75" thickBot="1" x14ac:dyDescent="0.3"/>
    <row r="9" spans="1:5" ht="15.75" thickBot="1" x14ac:dyDescent="0.3">
      <c r="D9" s="8" t="s">
        <v>21</v>
      </c>
      <c r="E9" s="7" t="str">
        <f>CONCATENATE(E6,"-",E5,"-",E4)</f>
        <v>2013-12-24</v>
      </c>
    </row>
    <row r="10" spans="1:5" ht="15.75" thickBot="1" x14ac:dyDescent="0.3"/>
    <row r="11" spans="1:5" x14ac:dyDescent="0.25">
      <c r="A11" s="10" t="s">
        <v>11</v>
      </c>
      <c r="B11" s="12">
        <v>1.3112973516999999</v>
      </c>
      <c r="C11" s="9"/>
      <c r="D11" s="14" t="s">
        <v>11</v>
      </c>
      <c r="E11" s="35">
        <f>IFERROR(INDEX($B$11:$B$50,MATCH($D11,$A$11:$A$50,0)),"-")</f>
        <v>1.3112973516999999</v>
      </c>
    </row>
    <row r="12" spans="1:5" x14ac:dyDescent="0.25">
      <c r="A12" s="10" t="s">
        <v>0</v>
      </c>
      <c r="B12" s="12">
        <v>1</v>
      </c>
      <c r="C12" s="9"/>
      <c r="D12" s="15" t="s">
        <v>0</v>
      </c>
      <c r="E12" s="36">
        <f t="shared" ref="E12:E45" si="0">IFERROR(INDEX($B$11:$B$50,MATCH($D12,$A$11:$A$50,0)),"-")</f>
        <v>1</v>
      </c>
    </row>
    <row r="13" spans="1:5" x14ac:dyDescent="0.25">
      <c r="A13" s="10" t="s">
        <v>30</v>
      </c>
      <c r="B13" s="12">
        <v>2.8892390210999999</v>
      </c>
      <c r="C13" s="9"/>
      <c r="D13" s="15" t="s">
        <v>30</v>
      </c>
      <c r="E13" s="36">
        <f t="shared" si="0"/>
        <v>2.8892390210999999</v>
      </c>
    </row>
    <row r="14" spans="1:5" x14ac:dyDescent="0.25">
      <c r="A14" s="10" t="s">
        <v>6</v>
      </c>
      <c r="B14" s="12">
        <v>217.8612135434</v>
      </c>
      <c r="C14" s="9"/>
      <c r="D14" s="15" t="s">
        <v>6</v>
      </c>
      <c r="E14" s="36">
        <f t="shared" si="0"/>
        <v>217.8612135434</v>
      </c>
    </row>
    <row r="15" spans="1:5" x14ac:dyDescent="0.25">
      <c r="A15" s="10" t="s">
        <v>3</v>
      </c>
      <c r="B15" s="12">
        <v>5.0016091183000002</v>
      </c>
      <c r="C15" s="9"/>
      <c r="D15" s="15" t="s">
        <v>3</v>
      </c>
      <c r="E15" s="36">
        <f t="shared" si="0"/>
        <v>5.0016091183000002</v>
      </c>
    </row>
    <row r="16" spans="1:5" x14ac:dyDescent="0.25">
      <c r="A16" s="10" t="s">
        <v>4</v>
      </c>
      <c r="B16" s="12">
        <v>87.234327857899999</v>
      </c>
      <c r="C16" s="9"/>
      <c r="D16" s="15" t="s">
        <v>4</v>
      </c>
      <c r="E16" s="36">
        <f t="shared" si="0"/>
        <v>87.234327857899999</v>
      </c>
    </row>
    <row r="17" spans="1:5" x14ac:dyDescent="0.25">
      <c r="A17" s="10" t="s">
        <v>33</v>
      </c>
      <c r="B17" s="12">
        <v>2.7894736841999999</v>
      </c>
      <c r="C17" s="9"/>
      <c r="D17" s="15" t="s">
        <v>33</v>
      </c>
      <c r="E17" s="36">
        <f t="shared" si="0"/>
        <v>2.7894736841999999</v>
      </c>
    </row>
    <row r="18" spans="1:5" x14ac:dyDescent="0.25">
      <c r="A18" s="10" t="s">
        <v>23</v>
      </c>
      <c r="B18" s="12">
        <v>4.7223600401999999</v>
      </c>
      <c r="C18" s="9"/>
      <c r="D18" s="15" t="s">
        <v>23</v>
      </c>
      <c r="E18" s="36">
        <f t="shared" si="0"/>
        <v>4.7223600401999999</v>
      </c>
    </row>
    <row r="19" spans="1:5" x14ac:dyDescent="0.25">
      <c r="A19" s="10" t="s">
        <v>38</v>
      </c>
      <c r="B19" s="12">
        <v>3.1293999330000002</v>
      </c>
      <c r="C19" s="9"/>
      <c r="D19" s="15" t="s">
        <v>38</v>
      </c>
      <c r="E19" s="36">
        <f t="shared" si="0"/>
        <v>3.1293999330000002</v>
      </c>
    </row>
    <row r="20" spans="1:5" x14ac:dyDescent="0.25">
      <c r="A20" s="10" t="s">
        <v>1</v>
      </c>
      <c r="B20" s="12">
        <v>0.59007710359999999</v>
      </c>
      <c r="C20" s="9"/>
      <c r="D20" s="15" t="s">
        <v>1</v>
      </c>
      <c r="E20" s="36">
        <f t="shared" si="0"/>
        <v>0.59007710359999999</v>
      </c>
    </row>
    <row r="21" spans="1:5" x14ac:dyDescent="0.25">
      <c r="A21" s="10" t="s">
        <v>24</v>
      </c>
      <c r="B21" s="12">
        <v>41.603084143499999</v>
      </c>
      <c r="C21" s="9"/>
      <c r="D21" s="15" t="s">
        <v>24</v>
      </c>
      <c r="E21" s="36">
        <f t="shared" si="0"/>
        <v>41.603084143499999</v>
      </c>
    </row>
    <row r="22" spans="1:5" x14ac:dyDescent="0.25">
      <c r="A22" s="10" t="s">
        <v>27</v>
      </c>
      <c r="B22" s="12">
        <v>4.9765336909000002</v>
      </c>
      <c r="C22" s="9"/>
      <c r="D22" s="15" t="s">
        <v>27</v>
      </c>
      <c r="E22" s="36">
        <f t="shared" si="0"/>
        <v>4.9765336909000002</v>
      </c>
    </row>
    <row r="23" spans="1:5" x14ac:dyDescent="0.25">
      <c r="A23" s="10" t="s">
        <v>16</v>
      </c>
      <c r="B23" s="12">
        <v>6.3749916192000002</v>
      </c>
      <c r="C23" s="9"/>
      <c r="D23" s="15" t="s">
        <v>16</v>
      </c>
      <c r="E23" s="36">
        <f t="shared" si="0"/>
        <v>6.3749916192000002</v>
      </c>
    </row>
    <row r="24" spans="1:5" x14ac:dyDescent="0.25">
      <c r="A24" s="10" t="s">
        <v>10</v>
      </c>
      <c r="B24" s="12">
        <v>11.4388199799</v>
      </c>
      <c r="C24" s="9"/>
      <c r="D24" s="15" t="s">
        <v>10</v>
      </c>
      <c r="E24" s="36">
        <f t="shared" si="0"/>
        <v>11.4388199799</v>
      </c>
    </row>
    <row r="25" spans="1:5" x14ac:dyDescent="0.25">
      <c r="A25" s="10" t="s">
        <v>31</v>
      </c>
      <c r="B25" s="12">
        <v>14.5062018103</v>
      </c>
      <c r="C25" s="9"/>
      <c r="D25" s="15" t="s">
        <v>31</v>
      </c>
      <c r="E25" s="36">
        <f t="shared" si="0"/>
        <v>14.5062018103</v>
      </c>
    </row>
    <row r="26" spans="1:5" x14ac:dyDescent="0.25">
      <c r="A26" s="10" t="s">
        <v>34</v>
      </c>
      <c r="B26" s="12">
        <v>1.0889708347</v>
      </c>
      <c r="C26" s="9"/>
      <c r="D26" s="15" t="s">
        <v>34</v>
      </c>
      <c r="E26" s="36">
        <f t="shared" si="0"/>
        <v>1.0889708347</v>
      </c>
    </row>
    <row r="27" spans="1:5" x14ac:dyDescent="0.25">
      <c r="A27" s="10" t="s">
        <v>35</v>
      </c>
      <c r="B27" s="12">
        <v>0.76956084479999998</v>
      </c>
      <c r="C27" s="9"/>
      <c r="D27" s="15" t="s">
        <v>35</v>
      </c>
      <c r="E27" s="36">
        <f t="shared" si="0"/>
        <v>0.76956084479999998</v>
      </c>
    </row>
    <row r="28" spans="1:5" x14ac:dyDescent="0.25">
      <c r="A28" s="10" t="s">
        <v>8</v>
      </c>
      <c r="B28" s="12">
        <v>874.80388870260003</v>
      </c>
      <c r="C28" s="9"/>
      <c r="D28" s="15" t="s">
        <v>8</v>
      </c>
      <c r="E28" s="36">
        <f t="shared" si="0"/>
        <v>874.80388870260003</v>
      </c>
    </row>
    <row r="29" spans="1:5" x14ac:dyDescent="0.25">
      <c r="A29" s="10" t="s">
        <v>13</v>
      </c>
      <c r="B29" s="12">
        <v>6.0257458933999999</v>
      </c>
      <c r="C29" s="9"/>
      <c r="D29" s="15" t="s">
        <v>13</v>
      </c>
      <c r="E29" s="36">
        <f t="shared" si="0"/>
        <v>6.0257458933999999</v>
      </c>
    </row>
    <row r="30" spans="1:5" x14ac:dyDescent="0.25">
      <c r="A30" s="10" t="s">
        <v>5</v>
      </c>
      <c r="B30" s="12">
        <v>0.67046597389999996</v>
      </c>
      <c r="C30" s="9"/>
      <c r="D30" s="15" t="s">
        <v>5</v>
      </c>
      <c r="E30" s="36">
        <f t="shared" si="0"/>
        <v>0.67046597389999996</v>
      </c>
    </row>
    <row r="31" spans="1:5" x14ac:dyDescent="0.25">
      <c r="A31" s="10" t="s">
        <v>2</v>
      </c>
      <c r="B31" s="12">
        <v>88.233322158899995</v>
      </c>
      <c r="C31" s="9"/>
      <c r="D31" s="15" t="s">
        <v>28</v>
      </c>
      <c r="E31" s="36">
        <f t="shared" si="0"/>
        <v>3.1971169963000001</v>
      </c>
    </row>
    <row r="32" spans="1:5" x14ac:dyDescent="0.25">
      <c r="A32" s="10" t="s">
        <v>12</v>
      </c>
      <c r="B32" s="12">
        <v>17.255782769</v>
      </c>
      <c r="C32" s="9"/>
      <c r="D32" s="15" t="s">
        <v>12</v>
      </c>
      <c r="E32" s="36">
        <f t="shared" si="0"/>
        <v>17.255782769</v>
      </c>
    </row>
    <row r="33" spans="1:5" x14ac:dyDescent="0.25">
      <c r="A33" s="10" t="s">
        <v>29</v>
      </c>
      <c r="B33" s="12">
        <v>25.361045926900001</v>
      </c>
      <c r="C33" s="9"/>
      <c r="D33" s="15" t="s">
        <v>29</v>
      </c>
      <c r="E33" s="36">
        <f t="shared" si="0"/>
        <v>25.361045926900001</v>
      </c>
    </row>
    <row r="34" spans="1:5" x14ac:dyDescent="0.25">
      <c r="A34" s="10" t="s">
        <v>28</v>
      </c>
      <c r="B34" s="12">
        <v>3.1971169963000001</v>
      </c>
      <c r="C34" s="9"/>
      <c r="D34" s="15" t="s">
        <v>14</v>
      </c>
      <c r="E34" s="36">
        <f t="shared" si="0"/>
        <v>1.1930942005</v>
      </c>
    </row>
    <row r="35" spans="1:5" x14ac:dyDescent="0.25">
      <c r="A35" s="10" t="s">
        <v>14</v>
      </c>
      <c r="B35" s="12">
        <v>1.1930942005</v>
      </c>
      <c r="C35" s="9"/>
      <c r="D35" s="15" t="s">
        <v>15</v>
      </c>
      <c r="E35" s="36">
        <f t="shared" si="0"/>
        <v>2.8884344620000002</v>
      </c>
    </row>
    <row r="36" spans="1:5" x14ac:dyDescent="0.25">
      <c r="A36" s="10" t="s">
        <v>15</v>
      </c>
      <c r="B36" s="12">
        <v>2.8884344620000002</v>
      </c>
      <c r="C36" s="9"/>
      <c r="D36" s="15" t="s">
        <v>36</v>
      </c>
      <c r="E36" s="36">
        <f t="shared" si="0"/>
        <v>0.76406302380000002</v>
      </c>
    </row>
    <row r="37" spans="1:5" x14ac:dyDescent="0.25">
      <c r="A37" s="10" t="s">
        <v>36</v>
      </c>
      <c r="B37" s="12">
        <v>0.76406302380000002</v>
      </c>
      <c r="C37" s="9"/>
      <c r="D37" s="15" t="s">
        <v>9</v>
      </c>
      <c r="E37" s="36">
        <f t="shared" si="0"/>
        <v>7.0038887026000003</v>
      </c>
    </row>
    <row r="38" spans="1:5" x14ac:dyDescent="0.25">
      <c r="A38" s="10" t="s">
        <v>9</v>
      </c>
      <c r="B38" s="12">
        <v>7.0038887026000003</v>
      </c>
      <c r="C38" s="9"/>
      <c r="D38" s="15" t="s">
        <v>25</v>
      </c>
      <c r="E38" s="36">
        <f t="shared" si="0"/>
        <v>5.3303385852999998</v>
      </c>
    </row>
    <row r="39" spans="1:5" x14ac:dyDescent="0.25">
      <c r="A39" s="10" t="s">
        <v>25</v>
      </c>
      <c r="B39" s="12">
        <v>5.3303385852999998</v>
      </c>
      <c r="C39" s="9"/>
      <c r="D39" s="15" t="s">
        <v>7</v>
      </c>
      <c r="E39" s="36">
        <f t="shared" si="0"/>
        <v>1.0656386188</v>
      </c>
    </row>
    <row r="40" spans="1:5" x14ac:dyDescent="0.25">
      <c r="A40" s="10" t="s">
        <v>7</v>
      </c>
      <c r="B40" s="12">
        <v>1.0656386188</v>
      </c>
      <c r="C40" s="9"/>
      <c r="D40" s="15" t="s">
        <v>32</v>
      </c>
      <c r="E40" s="36">
        <f t="shared" si="0"/>
        <v>56.994971505199999</v>
      </c>
    </row>
    <row r="41" spans="1:5" x14ac:dyDescent="0.25">
      <c r="A41" s="10" t="s">
        <v>32</v>
      </c>
      <c r="B41" s="12">
        <v>56.994971505199999</v>
      </c>
      <c r="C41" s="9"/>
      <c r="D41" s="15" t="s">
        <v>26</v>
      </c>
      <c r="E41" s="36">
        <f t="shared" si="0"/>
        <v>11710.794502179</v>
      </c>
    </row>
    <row r="42" spans="1:5" x14ac:dyDescent="0.25">
      <c r="A42" s="10" t="s">
        <v>26</v>
      </c>
      <c r="B42" s="12">
        <v>11710.794502179</v>
      </c>
      <c r="C42" s="9"/>
      <c r="D42" s="15" t="s">
        <v>22</v>
      </c>
      <c r="E42" s="36">
        <f t="shared" si="0"/>
        <v>51.429768689200003</v>
      </c>
    </row>
    <row r="43" spans="1:5" x14ac:dyDescent="0.25">
      <c r="A43" s="10" t="s">
        <v>22</v>
      </c>
      <c r="B43" s="12">
        <v>51.429768689200003</v>
      </c>
      <c r="C43" s="9"/>
      <c r="D43" s="16" t="s">
        <v>41</v>
      </c>
      <c r="E43" s="36" t="str">
        <f t="shared" si="0"/>
        <v>-</v>
      </c>
    </row>
    <row r="44" spans="1:5" x14ac:dyDescent="0.25">
      <c r="A44" s="11" t="s">
        <v>39</v>
      </c>
      <c r="B44" s="13" t="s">
        <v>43</v>
      </c>
      <c r="D44" s="16" t="s">
        <v>42</v>
      </c>
      <c r="E44" s="36" t="str">
        <f t="shared" si="0"/>
        <v>-</v>
      </c>
    </row>
    <row r="45" spans="1:5" ht="15.75" thickBot="1" x14ac:dyDescent="0.3">
      <c r="A45" s="11"/>
      <c r="B45" s="13"/>
      <c r="D45" s="17" t="s">
        <v>29</v>
      </c>
      <c r="E45" s="37">
        <f t="shared" si="0"/>
        <v>25.361045926900001</v>
      </c>
    </row>
    <row r="46" spans="1:5" x14ac:dyDescent="0.25">
      <c r="B46" s="13"/>
    </row>
    <row r="47" spans="1:5" x14ac:dyDescent="0.25">
      <c r="B47" s="13"/>
    </row>
    <row r="48" spans="1:5" x14ac:dyDescent="0.25">
      <c r="B48" s="13"/>
    </row>
    <row r="49" spans="2:2" x14ac:dyDescent="0.25">
      <c r="B49" s="13"/>
    </row>
  </sheetData>
  <dataValidations count="4">
    <dataValidation type="list" allowBlank="1" showInputMessage="1" showErrorMessage="1" sqref="E7 B10">
      <formula1>"USD, CAD, GBP"</formula1>
    </dataValidation>
    <dataValidation type="list" allowBlank="1" showInputMessage="1" showErrorMessage="1" sqref="E6">
      <formula1>"1999,2000,2001,2002,2003,2004,2005,2006,2007,2008,2009,2010,2011,2012,2013,2014,2015,2016,2017,2018"</formula1>
    </dataValidation>
    <dataValidation type="list" allowBlank="1" showInputMessage="1" showErrorMessage="1" sqref="E5">
      <formula1>"1,2,3,4,5,6,7,8,9,10,11,12"</formula1>
    </dataValidation>
    <dataValidation type="list" allowBlank="1" showInputMessage="1" showErrorMessage="1" sqref="E4">
      <formula1>"1,2,3,4,5,6,7,8,9,10,11,12,13,14,15,16,17,18,19,20,21,22,23,24,25,26,27,28,29,30,31"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ain1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9</xdr:col>
                    <xdr:colOff>28575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EpmWorksheetKeyString_GU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Documentation</vt:lpstr>
      <vt:lpstr>Exchange Rate Data</vt:lpstr>
      <vt:lpstr>Sheet3</vt:lpstr>
      <vt:lpstr>base</vt:lpstr>
      <vt:lpstr>date</vt:lpstr>
      <vt:lpstr>rate2</vt:lpstr>
      <vt:lpstr>therange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Megaffin</dc:creator>
  <cp:lastModifiedBy>Dennis Megaffin</cp:lastModifiedBy>
  <dcterms:created xsi:type="dcterms:W3CDTF">2018-10-05T17:22:30Z</dcterms:created>
  <dcterms:modified xsi:type="dcterms:W3CDTF">2018-10-09T14:19:45Z</dcterms:modified>
</cp:coreProperties>
</file>